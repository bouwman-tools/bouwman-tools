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B_Adviesmodel" sheetId="1" state="visible" r:id="rId1"/>
    <sheet xmlns:r="http://schemas.openxmlformats.org/officeDocument/2006/relationships" name="Tariefanaly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</dxf>
    <dxf>
      <font>
        <b val="1"/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Professioneel IB-Ondernemer Adviesmodel Youngtimerregeling (vergelijk 2026 vs 2027)</t>
        </is>
      </c>
    </row>
    <row r="3">
      <c r="A3" s="2" t="inlineStr">
        <is>
          <t>INPUT</t>
        </is>
      </c>
    </row>
    <row r="4">
      <c r="A4" t="inlineStr">
        <is>
          <t>Kenteken</t>
        </is>
      </c>
      <c r="B4" t="inlineStr">
        <is>
          <t>XX-999-X</t>
        </is>
      </c>
    </row>
    <row r="5">
      <c r="A5" t="inlineStr">
        <is>
          <t>Datum eerste registratie (RDW: datum eerste toelating)</t>
        </is>
      </c>
      <c r="B5" s="3" t="n">
        <v>39448</v>
      </c>
    </row>
    <row r="6">
      <c r="A6" t="inlineStr">
        <is>
          <t>Fiscale winst vóór bijtelling (EUR/jaar)</t>
        </is>
      </c>
      <c r="B6" s="4" t="n">
        <v>90000</v>
      </c>
    </row>
    <row r="7">
      <c r="A7" t="inlineStr">
        <is>
          <t>Cataloguswaarde auto (EUR)</t>
        </is>
      </c>
      <c r="B7" s="4" t="n">
        <v>85000</v>
      </c>
    </row>
    <row r="8">
      <c r="A8" t="inlineStr">
        <is>
          <t>Waarde economisch verkeer / dagwaarde (EUR)</t>
        </is>
      </c>
      <c r="B8" s="4" t="n">
        <v>7500</v>
      </c>
    </row>
    <row r="9">
      <c r="A9" t="inlineStr">
        <is>
          <t>Youngtimer percentage (%) (2026/2027 indien van toepassing)</t>
        </is>
      </c>
      <c r="B9" s="5" t="n">
        <v>35</v>
      </c>
    </row>
    <row r="10">
      <c r="A10" t="inlineStr">
        <is>
          <t>Regulier bijtellingspercentage (%) (2026/2027, standaard)</t>
        </is>
      </c>
      <c r="B10" s="5" t="n">
        <v>22</v>
      </c>
    </row>
    <row r="11">
      <c r="A11" t="inlineStr">
        <is>
          <t>Zelfstandigenaftrek (EUR, indien van toepassing)</t>
        </is>
      </c>
      <c r="B11" s="4" t="n">
        <v>3750</v>
      </c>
    </row>
    <row r="12">
      <c r="A12" t="inlineStr">
        <is>
          <t>MKB-winstvrijstelling (%) (Wet IB 2001)</t>
        </is>
      </c>
      <c r="B12" s="5" t="n">
        <v>14</v>
      </c>
    </row>
    <row r="15">
      <c r="A15" s="2" t="inlineStr">
        <is>
          <t>LEEFTIJDCONTROLE</t>
        </is>
      </c>
    </row>
    <row r="16">
      <c r="A16" t="inlineStr">
        <is>
          <t>Leeftijd op 01-01-2026 (jaren)</t>
        </is>
      </c>
      <c r="B16">
        <f>DATEDIF($B$5,DATE(2026,1,1),"y")</f>
        <v/>
      </c>
      <c r="C16" t="inlineStr">
        <is>
          <t>Leeftijd op 01-01-2027 (jaren)</t>
        </is>
      </c>
      <c r="D16">
        <f>DATEDIF($B$5,DATE(2027,1,1),"y")</f>
        <v/>
      </c>
    </row>
    <row r="17">
      <c r="A17" t="inlineStr">
        <is>
          <t>Voldoet aan youngtimer in 2026? (&gt;= 16 jaar)</t>
        </is>
      </c>
      <c r="B17">
        <f>IF($B$16&gt;=16,"JA","NEE")</f>
        <v/>
      </c>
      <c r="C17" t="inlineStr">
        <is>
          <t>Voldoet aan youngtimer in 2027? (&gt;= 25 jaar)</t>
        </is>
      </c>
      <c r="D17">
        <f>IF($D$16&gt;=25,"JA","NEE")</f>
        <v/>
      </c>
    </row>
    <row r="18">
      <c r="A18" t="inlineStr">
        <is>
          <t>Conclusie 2027 voor deze auto</t>
        </is>
      </c>
      <c r="B18">
        <f>IF($D$16&gt;=25,"Youngtimer blijft van toepassing","Youngtimer vervalt (reguliere bijtelling)")</f>
        <v/>
      </c>
    </row>
    <row r="20">
      <c r="A20" s="2" t="inlineStr">
        <is>
          <t>BEREKENING 2026</t>
        </is>
      </c>
    </row>
    <row r="21">
      <c r="A21" t="inlineStr">
        <is>
          <t>Bijtelling 2026 (automatisch: youngtimer of regulier)</t>
        </is>
      </c>
      <c r="B21" s="4">
        <f>IF($B$17="JA",ROUND($B$8*($B$9/100),0),ROUND($B$7*($B$10/100),0))</f>
        <v/>
      </c>
    </row>
    <row r="22">
      <c r="A22" t="inlineStr">
        <is>
          <t>Winst na bijtelling</t>
        </is>
      </c>
      <c r="B22" s="4">
        <f>$B$6+$B$21</f>
        <v/>
      </c>
    </row>
    <row r="23">
      <c r="A23" t="inlineStr">
        <is>
          <t>Winst na zelfstandigenaftrek</t>
        </is>
      </c>
      <c r="B23" s="4">
        <f>$B$22-$B$11</f>
        <v/>
      </c>
    </row>
    <row r="24">
      <c r="A24" t="inlineStr">
        <is>
          <t>MKB-winstvrijstelling</t>
        </is>
      </c>
      <c r="B24" s="4">
        <f>ROUND($B$23*($B$12/100),0)</f>
        <v/>
      </c>
    </row>
    <row r="25">
      <c r="A25" t="inlineStr">
        <is>
          <t>Belastbare winst box 1</t>
        </is>
      </c>
      <c r="B25" s="4">
        <f>$B$23-$B$24</f>
        <v/>
      </c>
    </row>
    <row r="26">
      <c r="A26" t="inlineStr">
        <is>
          <t>Inkomstenbelasting 2026 (progressief, zie Tariefanalyse)</t>
        </is>
      </c>
      <c r="B26" s="4">
        <f>Tariefanalyse!B20</f>
        <v/>
      </c>
    </row>
    <row r="27">
      <c r="A27" t="inlineStr">
        <is>
          <t>Gemiddeld IB-tarief 2026 (%) (zie Tariefanalyse)</t>
        </is>
      </c>
      <c r="B27" s="6">
        <f>Tariefanalyse!B24</f>
        <v/>
      </c>
    </row>
    <row r="28">
      <c r="A28" t="inlineStr">
        <is>
          <t>Zvw-bijdrage 2026 (incl. maximum, zie Tariefanalyse)</t>
        </is>
      </c>
      <c r="B28" s="4">
        <f>Tariefanalyse!B21</f>
        <v/>
      </c>
    </row>
    <row r="29">
      <c r="A29" t="inlineStr">
        <is>
          <t>Totale fiscale druk 2026 (IB + Zvw)</t>
        </is>
      </c>
      <c r="B29" s="4">
        <f>$B$26+$B$28</f>
        <v/>
      </c>
    </row>
    <row r="31">
      <c r="A31" s="2" t="inlineStr">
        <is>
          <t>BEREKENING 2027</t>
        </is>
      </c>
    </row>
    <row r="32">
      <c r="A32" t="inlineStr">
        <is>
          <t>Bijtelling 2027 (automatisch: youngtimer of regulier)</t>
        </is>
      </c>
      <c r="B32" s="4">
        <f>IF($D$17="JA",ROUND($B$8*($B$9/100),0),ROUND($B$7*($B$10/100),0))</f>
        <v/>
      </c>
    </row>
    <row r="33">
      <c r="A33" t="inlineStr">
        <is>
          <t>Winst na bijtelling</t>
        </is>
      </c>
      <c r="B33" s="4">
        <f>$B$6+$B$32</f>
        <v/>
      </c>
    </row>
    <row r="34">
      <c r="A34" t="inlineStr">
        <is>
          <t>Winst na zelfstandigenaftrek</t>
        </is>
      </c>
      <c r="B34" s="4">
        <f>$B$33-$B$11</f>
        <v/>
      </c>
    </row>
    <row r="35">
      <c r="A35" t="inlineStr">
        <is>
          <t>MKB-winstvrijstelling</t>
        </is>
      </c>
      <c r="B35" s="4">
        <f>ROUND($B$34*($B$12/100),0)</f>
        <v/>
      </c>
    </row>
    <row r="36">
      <c r="A36" t="inlineStr">
        <is>
          <t>Belastbare winst box 1</t>
        </is>
      </c>
      <c r="B36" s="4">
        <f>$B$34-$B$35</f>
        <v/>
      </c>
    </row>
    <row r="37">
      <c r="A37" t="inlineStr">
        <is>
          <t>Inkomstenbelasting 2027 (progressief, zie Tariefanalyse)</t>
        </is>
      </c>
      <c r="B37" s="4">
        <f>Tariefanalyse!C20</f>
        <v/>
      </c>
    </row>
    <row r="38">
      <c r="A38" t="inlineStr">
        <is>
          <t>Gemiddeld IB-tarief 2027 (%) (zie Tariefanalyse)</t>
        </is>
      </c>
      <c r="B38" s="6">
        <f>Tariefanalyse!C24</f>
        <v/>
      </c>
    </row>
    <row r="39">
      <c r="A39" t="inlineStr">
        <is>
          <t>Zvw-bijdrage 2027 (incl. maximum, zie Tariefanalyse)</t>
        </is>
      </c>
      <c r="B39" s="4">
        <f>Tariefanalyse!C21</f>
        <v/>
      </c>
    </row>
    <row r="40">
      <c r="A40" t="inlineStr">
        <is>
          <t>Totale fiscale druk 2027 (IB + Zvw)</t>
        </is>
      </c>
      <c r="B40" s="4">
        <f>$B$37+$B$39</f>
        <v/>
      </c>
    </row>
    <row r="42">
      <c r="A42" s="2" t="inlineStr">
        <is>
          <t>VERSCHIL 2027 t.o.v. 2026</t>
        </is>
      </c>
    </row>
    <row r="43">
      <c r="A43" t="inlineStr">
        <is>
          <t>Extra fiscale druk per jaar</t>
        </is>
      </c>
      <c r="B43" s="4">
        <f>$B$40-$B$29</f>
        <v/>
      </c>
    </row>
    <row r="44">
      <c r="A44" t="inlineStr">
        <is>
          <t>Extra fiscale druk per maand</t>
        </is>
      </c>
      <c r="B44" s="4">
        <f>ROUND($B$43/12,0)</f>
        <v/>
      </c>
    </row>
    <row r="46">
      <c r="A46" s="2" t="inlineStr">
        <is>
          <t>TOELICHTING</t>
        </is>
      </c>
    </row>
    <row r="47">
      <c r="A47" t="inlineStr">
        <is>
          <t>Modelmatige berekening zonder heffingskortingen, eigen woning en persoonsgebonden aftrek. Tarieven, schijfgrenzen en Zvw-maximum zijn per jaar instelbaar op tabblad Tariefanalyse.</t>
        </is>
      </c>
    </row>
  </sheetData>
  <mergeCells count="3">
    <mergeCell ref="A1:D1"/>
    <mergeCell ref="A47:D47"/>
    <mergeCell ref="B18:D18"/>
  </mergeCells>
  <conditionalFormatting sqref="D17:D18">
    <cfRule type="expression" priority="1" dxfId="0" stopIfTrue="1">
      <formula>$D$17="NEE"</formula>
    </cfRule>
    <cfRule type="expression" priority="2" dxfId="1" stopIfTrue="1">
      <formula>$D$17="JA"</formula>
    </cfRule>
  </conditionalFormatting>
  <dataValidations count="1">
    <dataValidation sqref="B5" showDropDown="0" showInputMessage="0" showErrorMessage="0" allowBlank="0" errorTitle="Ongeldige datum" error="Voer een geldige datum in (dd-mm-jjjj).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2" customWidth="1" min="4" max="4"/>
  </cols>
  <sheetData>
    <row r="1">
      <c r="A1" s="7" t="inlineStr">
        <is>
          <t>Tariefanalyse Box 1 + Zvw (modelmatig; zonder heffingskortingen)</t>
        </is>
      </c>
    </row>
    <row r="3">
      <c r="A3" s="2" t="inlineStr">
        <is>
          <t>JAAR</t>
        </is>
      </c>
      <c r="B3" s="2" t="inlineStr">
        <is>
          <t>2026</t>
        </is>
      </c>
      <c r="C3" s="2" t="inlineStr">
        <is>
          <t>2027</t>
        </is>
      </c>
    </row>
    <row r="4">
      <c r="A4" t="inlineStr">
        <is>
          <t>Schijf 1 t/m (EUR)</t>
        </is>
      </c>
      <c r="B4" s="4" t="n">
        <v>38883</v>
      </c>
      <c r="C4" s="4" t="n">
        <v>38883</v>
      </c>
    </row>
    <row r="5">
      <c r="A5" t="inlineStr">
        <is>
          <t>Schijf 2 t/m (EUR)</t>
        </is>
      </c>
      <c r="B5" s="4" t="n">
        <v>78426</v>
      </c>
      <c r="C5" s="4" t="n">
        <v>78426</v>
      </c>
    </row>
    <row r="6">
      <c r="A6" t="inlineStr">
        <is>
          <t>Tarief schijf 1 (%)</t>
        </is>
      </c>
      <c r="B6" t="n">
        <v>35.75</v>
      </c>
      <c r="C6" t="n">
        <v>35.75</v>
      </c>
    </row>
    <row r="7">
      <c r="A7" t="inlineStr">
        <is>
          <t>Tarief schijf 2 (%)</t>
        </is>
      </c>
      <c r="B7" t="n">
        <v>37.56</v>
      </c>
      <c r="C7" t="n">
        <v>37.56</v>
      </c>
    </row>
    <row r="8">
      <c r="A8" t="inlineStr">
        <is>
          <t>Tarief schijf 3 (%)</t>
        </is>
      </c>
      <c r="B8" t="n">
        <v>49.5</v>
      </c>
      <c r="C8" t="n">
        <v>49.5</v>
      </c>
    </row>
    <row r="9">
      <c r="A9" t="inlineStr">
        <is>
          <t>Zvw-percentage (%) (ondernemer)</t>
        </is>
      </c>
      <c r="B9" t="n">
        <v>4.85</v>
      </c>
      <c r="C9" t="n">
        <v>4.85</v>
      </c>
    </row>
    <row r="10">
      <c r="A10" t="inlineStr">
        <is>
          <t>Maximumbijdrage-inkomen Zvw (EUR)</t>
        </is>
      </c>
      <c r="B10" s="4" t="n">
        <v>79409</v>
      </c>
      <c r="C10" s="4" t="n">
        <v>79409</v>
      </c>
    </row>
    <row r="12">
      <c r="A12" t="inlineStr">
        <is>
          <t>Belastbare winst box 1</t>
        </is>
      </c>
      <c r="B12" s="4">
        <f>IB_Adviesmodel!B25</f>
        <v/>
      </c>
      <c r="C12" s="4">
        <f>IB_Adviesmodel!B36</f>
        <v/>
      </c>
    </row>
    <row r="14">
      <c r="A14" t="inlineStr">
        <is>
          <t>Belasting schijf 1</t>
        </is>
      </c>
      <c r="B14" s="4">
        <f>ROUND(MIN(B12,B4)*(B6/100),0)</f>
        <v/>
      </c>
      <c r="C14" s="4">
        <f>ROUND(MIN(C12,C4)*(C6/100),0)</f>
        <v/>
      </c>
    </row>
    <row r="15">
      <c r="A15" t="inlineStr">
        <is>
          <t>Belasting schijf 2</t>
        </is>
      </c>
      <c r="B15" s="4">
        <f>ROUND(MAX(MIN(B12,B5)-B4,0)*(B7/100),0)</f>
        <v/>
      </c>
      <c r="C15" s="4">
        <f>ROUND(MAX(MIN(C12,C5)-C4,0)*(C7/100),0)</f>
        <v/>
      </c>
    </row>
    <row r="16">
      <c r="A16" t="inlineStr">
        <is>
          <t>Belasting schijf 3</t>
        </is>
      </c>
      <c r="B16" s="4">
        <f>ROUND(MAX(B12-B5,0)*(B8/100),0)</f>
        <v/>
      </c>
      <c r="C16" s="4">
        <f>ROUND(MAX(C12-C5,0)*(C8/100),0)</f>
        <v/>
      </c>
    </row>
    <row r="18">
      <c r="A18" t="inlineStr">
        <is>
          <t>Totale inkomstenbelasting</t>
        </is>
      </c>
    </row>
    <row r="20">
      <c r="A20" t="inlineStr">
        <is>
          <t>Totale inkomstenbelasting</t>
        </is>
      </c>
      <c r="B20" s="4">
        <f>B14+B15+B16</f>
        <v/>
      </c>
      <c r="C20" s="4">
        <f>C14+C15+C16</f>
        <v/>
      </c>
    </row>
    <row r="21">
      <c r="A21" t="inlineStr">
        <is>
          <t>Zvw-bijdrage (met maximum)</t>
        </is>
      </c>
      <c r="B21" s="4">
        <f>ROUND(MIN(B12,B10)*(B9/100),0)</f>
        <v/>
      </c>
      <c r="C21" s="4">
        <f>ROUND(MIN(C12,C10)*(C9/100),0)</f>
        <v/>
      </c>
    </row>
    <row r="22">
      <c r="A22" t="inlineStr">
        <is>
          <t>Totale fiscale druk (IB + Zvw)</t>
        </is>
      </c>
      <c r="B22" s="4">
        <f>B20+B21</f>
        <v/>
      </c>
      <c r="C22" s="4">
        <f>C20+C21</f>
        <v/>
      </c>
    </row>
    <row r="24">
      <c r="A24" t="inlineStr">
        <is>
          <t>Gemiddeld IB-tarief (%)</t>
        </is>
      </c>
      <c r="B24">
        <f>IF(B12=0,0,ROUND(B20/B12*100,1))</f>
        <v/>
      </c>
      <c r="C24">
        <f>IF(C12=0,0,ROUND(C20/C12*100,1))</f>
        <v/>
      </c>
    </row>
    <row r="25">
      <c r="A25" t="inlineStr">
        <is>
          <t>Gemiddelde totale druk incl. Zvw (%)</t>
        </is>
      </c>
      <c r="B25">
        <f>IF(B12=0,0,ROUND(B22/B12*100,1))</f>
        <v/>
      </c>
      <c r="C25">
        <f>IF(C12=0,0,ROUND(C22/C12*100,1))</f>
        <v/>
      </c>
    </row>
    <row r="27">
      <c r="A27" t="inlineStr">
        <is>
          <t>Toelichting: 2026-parameters zijn ingevuld volgens Belastingdienst (box 1: 3 schijven) en Belastingdienst Zvw (percentage en maximumbijdrage-inkomen). 2027 is instelbaar.</t>
        </is>
      </c>
    </row>
  </sheetData>
  <mergeCells count="2">
    <mergeCell ref="A1:D1"/>
    <mergeCell ref="A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2026-02-25T15:08:49Z</dcterms:created>
  <dcterms:modified xmlns:dcterms="http://purl.org/dc/terms/" xmlns:xsi="http://www.w3.org/2001/XMLSchema-instance" xsi:type="dcterms:W3CDTF">2026-02-25T15:08:49Z</dcterms:modified>
</cp:coreProperties>
</file>